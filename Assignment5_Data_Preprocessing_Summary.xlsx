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processing Steps" sheetId="1" state="visible" r:id="rId3"/>
    <sheet name="Outliers" sheetId="2" state="visible" r:id="rId4"/>
    <sheet name="Findings &amp; Issu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<sst xmlns="http://schemas.openxmlformats.org/spreadsheetml/2006/main" count="102" uniqueCount="95">
  <si>
    <t xml:space="preserve">Assignment 5: Data Preprocessing summary</t>
  </si>
  <si>
    <t xml:space="preserve">Source: outputs saved in the notebook (diabetes dataset, 1,009 rows x 15 columns). Not re-run.</t>
  </si>
  <si>
    <t xml:space="preserve">Step</t>
  </si>
  <si>
    <t xml:space="preserve">What was done</t>
  </si>
  <si>
    <t xml:space="preserve">Result / finding</t>
  </si>
  <si>
    <t xml:space="preserve">Cleaning</t>
  </si>
  <si>
    <t xml:space="preserve">Dropped rows with missing Gender; upper-cased Gender; stripped whitespace from CLASS</t>
  </si>
  <si>
    <t xml:space="preserve">3 rows dropped (1,009 to 1,006). 'f' merged into 'F'. CLASS went from 5 labels to 3 (N, P, Y).</t>
  </si>
  <si>
    <t xml:space="preserve">Missing values</t>
  </si>
  <si>
    <t xml:space="preserve">Median imputation of numeric columns</t>
  </si>
  <si>
    <t xml:space="preserve">15 missing numeric values across 9 columns, all filled; 0 nulls remain.</t>
  </si>
  <si>
    <t xml:space="preserve">Duplicates</t>
  </si>
  <si>
    <t xml:space="preserve">df.duplicated()</t>
  </si>
  <si>
    <t xml:space="preserve">0 exact duplicates found.</t>
  </si>
  <si>
    <t xml:space="preserve">Outliers: lipids</t>
  </si>
  <si>
    <t xml:space="preserve">Z-score &gt; 3 on LDL, VLDL, HDL, TG, Chol</t>
  </si>
  <si>
    <t xml:space="preserve">78 rows would be removed (see Outliers sheet). Result stored in df_cleaned, not used later.</t>
  </si>
  <si>
    <t xml:space="preserve">Outliers: Cr, Urea</t>
  </si>
  <si>
    <t xml:space="preserve">Percentile cut-offs (Cr 99.5th, Urea 99.9th)</t>
  </si>
  <si>
    <t xml:space="preserve">Cr cut-off 401 (7 values &gt;= 400); Urea cut-off 26.4 (2 values &gt;= 26.3). Filtered series not applied to df.</t>
  </si>
  <si>
    <t xml:space="preserve">Outliers kept</t>
  </si>
  <si>
    <t xml:space="preserve">AGE, HbA1c, BMI left unchanged</t>
  </si>
  <si>
    <t xml:space="preserve">Clinically meaningful extremes (high HbA1c / BMI indicate severity).</t>
  </si>
  <si>
    <t xml:space="preserve">Encoding</t>
  </si>
  <si>
    <t xml:space="preserve">LabelEncoder on Gender and CLASS</t>
  </si>
  <si>
    <t xml:space="preserve">Gender F=0, M=1. CLASS N=0, P=1, Y=2.</t>
  </si>
  <si>
    <t xml:space="preserve">Feature selection</t>
  </si>
  <si>
    <t xml:space="preserve">SelectKBest, f_classif, k=5</t>
  </si>
  <si>
    <t xml:space="preserve">Selected: AGE, HbA1c, Chol, TG, BMI.</t>
  </si>
  <si>
    <t xml:space="preserve">Split</t>
  </si>
  <si>
    <t xml:space="preserve">train_test_split, 80/20, random_state=42</t>
  </si>
  <si>
    <t xml:space="preserve">804 train rows, 202 test rows.</t>
  </si>
  <si>
    <t xml:space="preserve">Scaling</t>
  </si>
  <si>
    <t xml:space="preserve">StandardScaler fit on train, applied to test</t>
  </si>
  <si>
    <t xml:space="preserve">Chosen over min-max because outliers were retained.</t>
  </si>
  <si>
    <t xml:space="preserve">Outlier analysis</t>
  </si>
  <si>
    <t xml:space="preserve">Blue = values read from notebook output. Black = formulas.</t>
  </si>
  <si>
    <t xml:space="preserve">Rows in dataset after cleaning</t>
  </si>
  <si>
    <t xml:space="preserve">Rows after z-score filter</t>
  </si>
  <si>
    <t xml:space="preserve">Rows removed</t>
  </si>
  <si>
    <t xml:space="preserve">% of rows removed</t>
  </si>
  <si>
    <t xml:space="preserve">Lipid column</t>
  </si>
  <si>
    <t xml:space="preserve">Outliers (z &gt; 3)</t>
  </si>
  <si>
    <t xml:space="preserve">% of rows</t>
  </si>
  <si>
    <t xml:space="preserve">LDL</t>
  </si>
  <si>
    <t xml:space="preserve">VLDL</t>
  </si>
  <si>
    <t xml:space="preserve">HDL</t>
  </si>
  <si>
    <t xml:space="preserve">TG</t>
  </si>
  <si>
    <t xml:space="preserve">Chol</t>
  </si>
  <si>
    <t xml:space="preserve">Total flagged values (a row can appear in several columns)</t>
  </si>
  <si>
    <t xml:space="preserve">Note: flagged values (B15) exceed rows removed (B6) because some rows are outliers in more than one column.</t>
  </si>
  <si>
    <t xml:space="preserve">Column</t>
  </si>
  <si>
    <t xml:space="preserve">Median</t>
  </si>
  <si>
    <t xml:space="preserve">Mean</t>
  </si>
  <si>
    <t xml:space="preserve">Min</t>
  </si>
  <si>
    <t xml:space="preserve">Max</t>
  </si>
  <si>
    <t xml:space="preserve">Max / median</t>
  </si>
  <si>
    <t xml:space="preserve">Cr</t>
  </si>
  <si>
    <t xml:space="preserve">Urea</t>
  </si>
  <si>
    <t xml:space="preserve">HbA1c</t>
  </si>
  <si>
    <t xml:space="preserve">BMI</t>
  </si>
  <si>
    <t xml:space="preserve">AGE</t>
  </si>
  <si>
    <t xml:space="preserve">Source: statistical summary cell in the notebook (rows with missing Gender removed).</t>
  </si>
  <si>
    <t xml:space="preserve">Key findings and issues to fix</t>
  </si>
  <si>
    <t xml:space="preserve">#</t>
  </si>
  <si>
    <t xml:space="preserve">Type</t>
  </si>
  <si>
    <t xml:space="preserve">Item</t>
  </si>
  <si>
    <t xml:space="preserve">Evidence from notebook</t>
  </si>
  <si>
    <t xml:space="preserve">Suggested action</t>
  </si>
  <si>
    <t xml:space="preserve">Finding</t>
  </si>
  <si>
    <t xml:space="preserve">HbA1c is the dominant signal</t>
  </si>
  <si>
    <t xml:space="preserve">Mean 8.28, median 8.0; selected by SelectKBest</t>
  </si>
  <si>
    <t xml:space="preserve">Keep as primary feature</t>
  </si>
  <si>
    <t xml:space="preserve">Several columns are heavily skewed</t>
  </si>
  <si>
    <t xml:space="preserve">VLDL mean 1.84 vs median 0.9, max 35; Cr max 800 vs median 60</t>
  </si>
  <si>
    <t xml:space="preserve">Standardisation is appropriate; consider log transforms</t>
  </si>
  <si>
    <t xml:space="preserve">Quality problems were label-level</t>
  </si>
  <si>
    <t xml:space="preserve">Gender 'f' and CLASS 'N ', 'Y ' would have split classes</t>
  </si>
  <si>
    <t xml:space="preserve">Keep the normalisation step</t>
  </si>
  <si>
    <t xml:space="preserve">Issue</t>
  </si>
  <si>
    <t xml:space="preserve">Cleaned data not used downstream</t>
  </si>
  <si>
    <t xml:space="preserve">df_cleaned and Cr/Urea filters are never applied; split uses all 1,006 rows</t>
  </si>
  <si>
    <t xml:space="preserve">Assign filtered result back to df before encoding/split</t>
  </si>
  <si>
    <t xml:space="preserve">Notes and code disagree</t>
  </si>
  <si>
    <t xml:space="preserve">Notes say mean imputation, code uses median; notes cite 99.2 percentile for Urea, code uses 99.9</t>
  </si>
  <si>
    <t xml:space="preserve">Align text with code</t>
  </si>
  <si>
    <t xml:space="preserve">Possible feature-selection leakage</t>
  </si>
  <si>
    <t xml:space="preserve">SelectKBest fit on all rows before train_test_split</t>
  </si>
  <si>
    <t xml:space="preserve">Fit selector on training set only</t>
  </si>
  <si>
    <t xml:space="preserve">Possible hidden duplicates</t>
  </si>
  <si>
    <t xml:space="preserve">Rows 0, 2, 3 have identical lab values with different IDs</t>
  </si>
  <si>
    <t xml:space="preserve">Check duplicates on lab columns excluding IDs</t>
  </si>
  <si>
    <t xml:space="preserve">Class balance not checked</t>
  </si>
  <si>
    <t xml:space="preserve">No value_counts() on CLASS</t>
  </si>
  <si>
    <t xml:space="preserve">Add df['CLASS'].value_counts()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</si>
</sst>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5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23.8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4" t="s">
        <v>13</v>
      </c>
    </row>
    <row r="8" customFormat="false" ht="23.85" hidden="false" customHeight="false" outlineLevel="0" collapsed="false">
      <c r="A8" s="4" t="s">
        <v>14</v>
      </c>
      <c r="B8" s="4" t="s">
        <v>15</v>
      </c>
      <c r="C8" s="4" t="s">
        <v>16</v>
      </c>
    </row>
    <row r="9" customFormat="false" ht="23.85" hidden="false" customHeight="false" outlineLevel="0" collapsed="false">
      <c r="A9" s="4" t="s">
        <v>17</v>
      </c>
      <c r="B9" s="4" t="s">
        <v>18</v>
      </c>
      <c r="C9" s="4" t="s">
        <v>19</v>
      </c>
    </row>
    <row r="10" customFormat="false" ht="15" hidden="false" customHeight="false" outlineLevel="0" collapsed="false">
      <c r="A10" s="4" t="s">
        <v>20</v>
      </c>
      <c r="B10" s="4" t="s">
        <v>21</v>
      </c>
      <c r="C10" s="4" t="s">
        <v>22</v>
      </c>
    </row>
    <row r="11" customFormat="false" ht="15" hidden="false" customHeight="false" outlineLevel="0" collapsed="false">
      <c r="A11" s="4" t="s">
        <v>23</v>
      </c>
      <c r="B11" s="4" t="s">
        <v>24</v>
      </c>
      <c r="C11" s="4" t="s">
        <v>25</v>
      </c>
    </row>
    <row r="12" customFormat="false" ht="15" hidden="false" customHeight="false" outlineLevel="0" collapsed="false">
      <c r="A12" s="4" t="s">
        <v>26</v>
      </c>
      <c r="B12" s="4" t="s">
        <v>27</v>
      </c>
      <c r="C12" s="4" t="s">
        <v>28</v>
      </c>
    </row>
    <row r="13" customFormat="false" ht="15" hidden="false" customHeight="false" outlineLevel="0" collapsed="false">
      <c r="A13" s="4" t="s">
        <v>29</v>
      </c>
      <c r="B13" s="4" t="s">
        <v>30</v>
      </c>
      <c r="C13" s="4" t="s">
        <v>31</v>
      </c>
    </row>
    <row r="14" customFormat="false" ht="15" hidden="false" customHeight="false" outlineLevel="0" collapsed="false">
      <c r="A14" s="4" t="s">
        <v>32</v>
      </c>
      <c r="B14" s="4" t="s">
        <v>33</v>
      </c>
      <c r="C14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4" customFormat="false" ht="15" hidden="false" customHeight="false" outlineLevel="0" collapsed="false">
      <c r="A4" s="5" t="s">
        <v>37</v>
      </c>
      <c r="B4" s="6" t="n">
        <v>1006</v>
      </c>
    </row>
    <row r="5" customFormat="false" ht="15" hidden="false" customHeight="false" outlineLevel="0" collapsed="false">
      <c r="A5" s="5" t="s">
        <v>38</v>
      </c>
      <c r="B5" s="6" t="n">
        <v>928</v>
      </c>
    </row>
    <row r="6" customFormat="false" ht="15" hidden="false" customHeight="false" outlineLevel="0" collapsed="false">
      <c r="A6" s="5" t="s">
        <v>39</v>
      </c>
      <c r="B6" s="5" t="n">
        <f aca="false">B4-B5</f>
        <v>78</v>
      </c>
    </row>
    <row r="7" customFormat="false" ht="15" hidden="false" customHeight="false" outlineLevel="0" collapsed="false">
      <c r="A7" s="5" t="s">
        <v>40</v>
      </c>
      <c r="B7" s="7" t="n">
        <f aca="false">B6/B4</f>
        <v>0.0775347912524851</v>
      </c>
    </row>
    <row r="9" customFormat="false" ht="15" hidden="false" customHeight="false" outlineLevel="0" collapsed="false">
      <c r="A9" s="3" t="s">
        <v>41</v>
      </c>
      <c r="B9" s="3" t="s">
        <v>42</v>
      </c>
      <c r="C9" s="3" t="s">
        <v>43</v>
      </c>
    </row>
    <row r="10" customFormat="false" ht="15" hidden="false" customHeight="false" outlineLevel="0" collapsed="false">
      <c r="A10" s="4" t="s">
        <v>44</v>
      </c>
      <c r="B10" s="8" t="n">
        <v>7</v>
      </c>
      <c r="C10" s="9" t="n">
        <f aca="false">B10/$B$4</f>
        <v>0.00695825049701789</v>
      </c>
    </row>
    <row r="11" customFormat="false" ht="15" hidden="false" customHeight="false" outlineLevel="0" collapsed="false">
      <c r="A11" s="4" t="s">
        <v>45</v>
      </c>
      <c r="B11" s="8" t="n">
        <v>29</v>
      </c>
      <c r="C11" s="9" t="n">
        <f aca="false">B11/$B$4</f>
        <v>0.0288270377733598</v>
      </c>
    </row>
    <row r="12" customFormat="false" ht="15" hidden="false" customHeight="false" outlineLevel="0" collapsed="false">
      <c r="A12" s="4" t="s">
        <v>46</v>
      </c>
      <c r="B12" s="8" t="n">
        <v>15</v>
      </c>
      <c r="C12" s="9" t="n">
        <f aca="false">B12/$B$4</f>
        <v>0.0149105367793241</v>
      </c>
    </row>
    <row r="13" customFormat="false" ht="15" hidden="false" customHeight="false" outlineLevel="0" collapsed="false">
      <c r="A13" s="4" t="s">
        <v>47</v>
      </c>
      <c r="B13" s="8" t="n">
        <v>17</v>
      </c>
      <c r="C13" s="9" t="n">
        <f aca="false">B13/$B$4</f>
        <v>0.0168986083499006</v>
      </c>
    </row>
    <row r="14" customFormat="false" ht="15" hidden="false" customHeight="false" outlineLevel="0" collapsed="false">
      <c r="A14" s="4" t="s">
        <v>48</v>
      </c>
      <c r="B14" s="8" t="n">
        <v>18</v>
      </c>
      <c r="C14" s="9" t="n">
        <f aca="false">B14/$B$4</f>
        <v>0.0178926441351889</v>
      </c>
    </row>
    <row r="15" customFormat="false" ht="15" hidden="false" customHeight="false" outlineLevel="0" collapsed="false">
      <c r="A15" s="10" t="s">
        <v>49</v>
      </c>
      <c r="B15" s="10" t="n">
        <f aca="false">SUM(B10:B14)</f>
        <v>86</v>
      </c>
    </row>
    <row r="17" customFormat="false" ht="15" hidden="false" customHeight="false" outlineLevel="0" collapsed="false">
      <c r="A17" s="11" t="s">
        <v>50</v>
      </c>
    </row>
    <row r="19" customFormat="false" ht="15" hidden="false" customHeight="false" outlineLevel="0" collapsed="false">
      <c r="A19" s="3" t="s">
        <v>51</v>
      </c>
      <c r="B19" s="3" t="s">
        <v>52</v>
      </c>
      <c r="C19" s="3" t="s">
        <v>53</v>
      </c>
      <c r="D19" s="3" t="s">
        <v>54</v>
      </c>
      <c r="E19" s="3" t="s">
        <v>55</v>
      </c>
      <c r="F19" s="3" t="s">
        <v>56</v>
      </c>
    </row>
    <row r="20" customFormat="false" ht="15" hidden="false" customHeight="false" outlineLevel="0" collapsed="false">
      <c r="A20" s="4" t="s">
        <v>57</v>
      </c>
      <c r="B20" s="8" t="n">
        <v>60</v>
      </c>
      <c r="C20" s="8" t="n">
        <v>68.894422</v>
      </c>
      <c r="D20" s="8" t="n">
        <v>6</v>
      </c>
      <c r="E20" s="8" t="n">
        <v>800</v>
      </c>
      <c r="F20" s="12" t="n">
        <f aca="false">E20/B20</f>
        <v>13.3333333333333</v>
      </c>
    </row>
    <row r="21" customFormat="false" ht="15" hidden="false" customHeight="false" outlineLevel="0" collapsed="false">
      <c r="A21" s="4" t="s">
        <v>58</v>
      </c>
      <c r="B21" s="8" t="n">
        <v>4.6</v>
      </c>
      <c r="C21" s="8" t="n">
        <v>5.133177</v>
      </c>
      <c r="D21" s="8" t="n">
        <v>0.5</v>
      </c>
      <c r="E21" s="8" t="n">
        <v>38.9</v>
      </c>
      <c r="F21" s="12" t="n">
        <f aca="false">E21/B21</f>
        <v>8.45652173913044</v>
      </c>
    </row>
    <row r="22" customFormat="false" ht="15" hidden="false" customHeight="false" outlineLevel="0" collapsed="false">
      <c r="A22" s="4" t="s">
        <v>45</v>
      </c>
      <c r="B22" s="8" t="n">
        <v>0.9</v>
      </c>
      <c r="C22" s="8" t="n">
        <v>1.84</v>
      </c>
      <c r="D22" s="8" t="n">
        <v>0.1</v>
      </c>
      <c r="E22" s="8" t="n">
        <v>35</v>
      </c>
      <c r="F22" s="12" t="n">
        <f aca="false">E22/B22</f>
        <v>38.8888888888889</v>
      </c>
    </row>
    <row r="23" customFormat="false" ht="15" hidden="false" customHeight="false" outlineLevel="0" collapsed="false">
      <c r="A23" s="4" t="s">
        <v>59</v>
      </c>
      <c r="B23" s="8" t="n">
        <v>8</v>
      </c>
      <c r="C23" s="8" t="n">
        <v>8.279023</v>
      </c>
      <c r="D23" s="8" t="n">
        <v>0.9</v>
      </c>
      <c r="E23" s="8" t="n">
        <v>16</v>
      </c>
      <c r="F23" s="12" t="n">
        <f aca="false">E23/B23</f>
        <v>2</v>
      </c>
    </row>
    <row r="24" customFormat="false" ht="15" hidden="false" customHeight="false" outlineLevel="0" collapsed="false">
      <c r="A24" s="4" t="s">
        <v>60</v>
      </c>
      <c r="B24" s="8" t="n">
        <v>30</v>
      </c>
      <c r="C24" s="8" t="n">
        <v>29.580567</v>
      </c>
      <c r="D24" s="8" t="n">
        <v>19</v>
      </c>
      <c r="E24" s="8" t="n">
        <v>47.75</v>
      </c>
      <c r="F24" s="12" t="n">
        <f aca="false">E24/B24</f>
        <v>1.59166666666667</v>
      </c>
    </row>
    <row r="25" customFormat="false" ht="15" hidden="false" customHeight="false" outlineLevel="0" collapsed="false">
      <c r="A25" s="4" t="s">
        <v>61</v>
      </c>
      <c r="B25" s="8" t="n">
        <v>55</v>
      </c>
      <c r="C25" s="8" t="n">
        <v>53.622886</v>
      </c>
      <c r="D25" s="8" t="n">
        <v>25</v>
      </c>
      <c r="E25" s="8" t="n">
        <v>79</v>
      </c>
      <c r="F25" s="12" t="n">
        <f aca="false">E25/B25</f>
        <v>1.43636363636364</v>
      </c>
    </row>
    <row r="26" customFormat="false" ht="15" hidden="false" customHeight="false" outlineLevel="0" collapsed="false">
      <c r="A26" s="11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36"/>
    <col collapsed="false" customWidth="true" hidden="false" outlineLevel="0" max="4" min="4" style="0" width="60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/>
    </row>
    <row r="4" customFormat="false" ht="15" hidden="false" customHeight="false" outlineLevel="0" collapsed="false">
      <c r="A4" s="3" t="s">
        <v>64</v>
      </c>
      <c r="B4" s="3" t="s">
        <v>65</v>
      </c>
      <c r="C4" s="3" t="s">
        <v>66</v>
      </c>
      <c r="D4" s="3" t="s">
        <v>67</v>
      </c>
      <c r="E4" s="3" t="s">
        <v>68</v>
      </c>
    </row>
    <row r="5" customFormat="false" ht="15" hidden="false" customHeight="false" outlineLevel="0" collapsed="false">
      <c r="A5" s="4" t="n">
        <v>1</v>
      </c>
      <c r="B5" s="4" t="s">
        <v>69</v>
      </c>
      <c r="C5" s="4" t="s">
        <v>70</v>
      </c>
      <c r="D5" s="4" t="s">
        <v>71</v>
      </c>
      <c r="E5" s="4" t="s">
        <v>72</v>
      </c>
    </row>
    <row r="6" customFormat="false" ht="15" hidden="false" customHeight="false" outlineLevel="0" collapsed="false">
      <c r="A6" s="4" t="n">
        <v>2</v>
      </c>
      <c r="B6" s="4" t="s">
        <v>69</v>
      </c>
      <c r="C6" s="4" t="s">
        <v>73</v>
      </c>
      <c r="D6" s="4" t="s">
        <v>74</v>
      </c>
      <c r="E6" s="4" t="s">
        <v>75</v>
      </c>
    </row>
    <row r="7" customFormat="false" ht="15" hidden="false" customHeight="false" outlineLevel="0" collapsed="false">
      <c r="A7" s="4" t="n">
        <v>3</v>
      </c>
      <c r="B7" s="4" t="s">
        <v>69</v>
      </c>
      <c r="C7" s="4" t="s">
        <v>76</v>
      </c>
      <c r="D7" s="4" t="s">
        <v>77</v>
      </c>
      <c r="E7" s="4" t="s">
        <v>78</v>
      </c>
    </row>
    <row r="8" customFormat="false" ht="15" hidden="false" customHeight="false" outlineLevel="0" collapsed="false">
      <c r="A8" s="4" t="n">
        <v>4</v>
      </c>
      <c r="B8" s="4" t="s">
        <v>79</v>
      </c>
      <c r="C8" s="4" t="s">
        <v>80</v>
      </c>
      <c r="D8" s="4" t="s">
        <v>81</v>
      </c>
      <c r="E8" s="4" t="s">
        <v>82</v>
      </c>
    </row>
    <row r="9" customFormat="false" ht="23.85" hidden="false" customHeight="false" outlineLevel="0" collapsed="false">
      <c r="A9" s="4" t="n">
        <v>5</v>
      </c>
      <c r="B9" s="4" t="s">
        <v>79</v>
      </c>
      <c r="C9" s="4" t="s">
        <v>83</v>
      </c>
      <c r="D9" s="4" t="s">
        <v>84</v>
      </c>
      <c r="E9" s="4" t="s">
        <v>85</v>
      </c>
    </row>
    <row r="10" customFormat="false" ht="15" hidden="false" customHeight="false" outlineLevel="0" collapsed="false">
      <c r="A10" s="4" t="n">
        <v>6</v>
      </c>
      <c r="B10" s="4" t="s">
        <v>79</v>
      </c>
      <c r="C10" s="4" t="s">
        <v>86</v>
      </c>
      <c r="D10" s="4" t="s">
        <v>87</v>
      </c>
      <c r="E10" s="4" t="s">
        <v>88</v>
      </c>
    </row>
    <row r="11" customFormat="false" ht="15" hidden="false" customHeight="false" outlineLevel="0" collapsed="false">
      <c r="A11" s="4" t="n">
        <v>7</v>
      </c>
      <c r="B11" s="4" t="s">
        <v>79</v>
      </c>
      <c r="C11" s="4" t="s">
        <v>89</v>
      </c>
      <c r="D11" s="4" t="s">
        <v>90</v>
      </c>
      <c r="E11" s="4" t="s">
        <v>91</v>
      </c>
    </row>
    <row r="12" customFormat="false" ht="15" hidden="false" customHeight="false" outlineLevel="0" collapsed="false">
      <c r="A12" s="4" t="n">
        <v>8</v>
      </c>
      <c r="B12" s="4" t="s">
        <v>79</v>
      </c>
      <c r="C12" s="4" t="s">
        <v>92</v>
      </c>
      <c r="D12" s="4" t="s">
        <v>93</v>
      </c>
      <c r="E12" s="4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2026-10-22T01:08:59Z</dcterms:created>
  <dc:creator>openpyxl</dc:creator>
  <dc:description/>
  <dc:language>en-US</dc:language>
  <cp:lastModifiedBy/>
  <dcterms:modified xsi:type="dcterms:W3CDTF">2026-10-22T01:09:00Z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